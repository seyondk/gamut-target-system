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k/Downloads/DCI-P3 TEST/fraction/HISENSE E8S/2026-09-09_Vivid Mode_Original_ICC/"/>
    </mc:Choice>
  </mc:AlternateContent>
  <xr:revisionPtr revIDLastSave="0" documentId="8_{31F341CD-3627-C743-859C-03506609AA1A}" xr6:coauthVersionLast="47" xr6:coauthVersionMax="47" xr10:uidLastSave="{00000000-0000-0000-0000-000000000000}"/>
  <bookViews>
    <workbookView xWindow="1240" yWindow="860" windowWidth="28100" windowHeight="17360" xr2:uid="{354DC6E0-88EF-7F42-882A-779C1AE91323}"/>
  </bookViews>
  <sheets>
    <sheet name="dci_p3_gamut_test_results" sheetId="1" r:id="rId1"/>
  </sheets>
  <calcPr calcId="0"/>
</workbook>
</file>

<file path=xl/calcChain.xml><?xml version="1.0" encoding="utf-8"?>
<calcChain xmlns="http://schemas.openxmlformats.org/spreadsheetml/2006/main">
  <c r="G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H2" i="1"/>
</calcChain>
</file>

<file path=xl/sharedStrings.xml><?xml version="1.0" encoding="utf-8"?>
<sst xmlns="http://schemas.openxmlformats.org/spreadsheetml/2006/main" count="94" uniqueCount="53">
  <si>
    <t>Point_ID</t>
  </si>
  <si>
    <t>Point_Name</t>
  </si>
  <si>
    <t>Target_x</t>
  </si>
  <si>
    <t>Target_y</t>
  </si>
  <si>
    <t>Measured_x</t>
  </si>
  <si>
    <t>Measured_y</t>
  </si>
  <si>
    <t>Offset_dy</t>
  </si>
  <si>
    <t>Adjusted_Target_x</t>
  </si>
  <si>
    <t>Adjusted_Target_y</t>
  </si>
  <si>
    <t>Delta_uv</t>
  </si>
  <si>
    <t>RGB_Value</t>
  </si>
  <si>
    <t>Target_Exceeds_P3</t>
  </si>
  <si>
    <t>Measured_Exceeds_P3</t>
  </si>
  <si>
    <t>Test_Verdict</t>
  </si>
  <si>
    <t>P1</t>
  </si>
  <si>
    <t>(255, 51, 0)</t>
  </si>
  <si>
    <t>YES</t>
  </si>
  <si>
    <t>EXCEEDED_P3</t>
  </si>
  <si>
    <t>P2</t>
  </si>
  <si>
    <t>(255, 140, 12)</t>
  </si>
  <si>
    <t>NO</t>
  </si>
  <si>
    <t>IN_P3_GAMUT</t>
  </si>
  <si>
    <t>P3</t>
  </si>
  <si>
    <t>(255, 208, 22)</t>
  </si>
  <si>
    <t>P4</t>
  </si>
  <si>
    <t>(225, 255, 28)</t>
  </si>
  <si>
    <t>P5</t>
  </si>
  <si>
    <t>(158, 255, 28)</t>
  </si>
  <si>
    <t>P6</t>
  </si>
  <si>
    <t>(87, 255, 29)</t>
  </si>
  <si>
    <t>P7</t>
  </si>
  <si>
    <t>(255, 52, 115)</t>
  </si>
  <si>
    <t>P8</t>
  </si>
  <si>
    <t>(255, 53, 180)</t>
  </si>
  <si>
    <t>P9</t>
  </si>
  <si>
    <t>(252, 55, 255)</t>
  </si>
  <si>
    <t>P10</t>
  </si>
  <si>
    <t>(164, 40, 255)</t>
  </si>
  <si>
    <t>P11</t>
  </si>
  <si>
    <t>(47, 25, 255)</t>
  </si>
  <si>
    <t>P12</t>
  </si>
  <si>
    <t>(89, 255, 119)</t>
  </si>
  <si>
    <t>P13</t>
  </si>
  <si>
    <t>(91, 255, 184)</t>
  </si>
  <si>
    <t>P14</t>
  </si>
  <si>
    <t>(93, 246, 255)</t>
  </si>
  <si>
    <t>P15</t>
  </si>
  <si>
    <t>(69, 159, 255)</t>
  </si>
  <si>
    <t>Delta_xy</t>
    <phoneticPr fontId="18" type="noConversion"/>
  </si>
  <si>
    <t>Delta_x</t>
    <phoneticPr fontId="18" type="noConversion"/>
  </si>
  <si>
    <t>Delta_y</t>
    <phoneticPr fontId="18" type="noConversion"/>
  </si>
  <si>
    <t>Measured_Luminance_Y_nits</t>
    <phoneticPr fontId="18" type="noConversion"/>
  </si>
  <si>
    <t>Offset_dx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</si>
</sst>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D7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>
      <alignment vertical="center"/>
    </xf>
    <xf numFmtId="0" fontId="0" fillId="35" borderId="10" xfId="0" applyFill="1" applyBorder="1" applyAlignment="1">
      <alignment horizontal="center" vertical="center"/>
    </xf>
    <xf numFmtId="0" fontId="0" fillId="35" borderId="10" xfId="0" applyFill="1" applyBorder="1">
      <alignment vertical="center"/>
    </xf>
    <xf numFmtId="0" fontId="14" fillId="35" borderId="10" xfId="0" applyFont="1" applyFill="1" applyBorder="1">
      <alignment vertical="center"/>
    </xf>
    <xf numFmtId="0" fontId="14" fillId="0" borderId="10" xfId="0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C3D5-F752-794C-A3F3-574143415EAE}">
  <dimension ref="A1:S16"/>
  <sheetViews>
    <sheetView tabSelected="1" zoomScale="120" zoomScaleNormal="120" workbookViewId="0">
      <selection activeCell="C8" sqref="C8"/>
    </sheetView>
  </sheetViews>
  <sheetFormatPr baseColWidth="10" defaultRowHeight="16"/>
  <cols>
    <col min="3" max="9" width="12.1640625" customWidth="1"/>
    <col min="10" max="10" width="27" customWidth="1"/>
    <col min="13" max="13" width="17.83203125" customWidth="1"/>
    <col min="14" max="14" width="17.5" customWidth="1"/>
    <col min="16" max="16" width="13.1640625" customWidth="1"/>
    <col min="19" max="19" width="1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7" t="s">
        <v>49</v>
      </c>
      <c r="H1" s="7" t="s">
        <v>50</v>
      </c>
      <c r="I1" s="7" t="s">
        <v>48</v>
      </c>
      <c r="J1" s="1" t="s">
        <v>51</v>
      </c>
      <c r="K1" s="1" t="s">
        <v>52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</row>
    <row r="2" spans="1:19">
      <c r="A2" s="1">
        <v>1</v>
      </c>
      <c r="B2" s="1" t="s">
        <v>14</v>
      </c>
      <c r="C2" s="3">
        <v>0.69399999999999995</v>
      </c>
      <c r="D2" s="3">
        <v>0.30599999999999999</v>
      </c>
      <c r="E2" s="6">
        <v>0.68879999999999997</v>
      </c>
      <c r="F2" s="6">
        <v>0.31119999999999998</v>
      </c>
      <c r="G2" s="8">
        <f>C2-E2</f>
        <v>5.1999999999999824E-3</v>
      </c>
      <c r="H2" s="8">
        <f>D2-F2</f>
        <v>-5.1999999999999824E-3</v>
      </c>
      <c r="I2" s="9">
        <v>7.4000000000000003E-3</v>
      </c>
      <c r="J2" s="4">
        <v>170.38120000000001</v>
      </c>
      <c r="K2" s="4">
        <v>3.1E-2</v>
      </c>
      <c r="L2" s="4">
        <v>-2.9000000000000001E-2</v>
      </c>
      <c r="M2" s="4">
        <v>0.72499999999999998</v>
      </c>
      <c r="N2" s="4">
        <v>0.27700000000000002</v>
      </c>
      <c r="O2" s="10">
        <v>1.11E-2</v>
      </c>
      <c r="P2" s="4" t="s">
        <v>15</v>
      </c>
      <c r="Q2" s="4" t="s">
        <v>16</v>
      </c>
      <c r="R2" s="4" t="s">
        <v>16</v>
      </c>
      <c r="S2" s="4" t="s">
        <v>17</v>
      </c>
    </row>
    <row r="3" spans="1:19">
      <c r="A3" s="1">
        <v>2</v>
      </c>
      <c r="B3" s="1" t="s">
        <v>18</v>
      </c>
      <c r="C3" s="3">
        <v>0.59870000000000001</v>
      </c>
      <c r="D3" s="3">
        <v>0.39350000000000002</v>
      </c>
      <c r="E3" s="6">
        <v>0.59370000000000001</v>
      </c>
      <c r="F3" s="6">
        <v>0.39450000000000002</v>
      </c>
      <c r="G3" s="8">
        <f t="shared" ref="G3:G16" si="0">C3-E3</f>
        <v>5.0000000000000044E-3</v>
      </c>
      <c r="H3" s="8">
        <f t="shared" ref="H3:H16" si="1">D3-F3</f>
        <v>-1.0000000000000009E-3</v>
      </c>
      <c r="I3" s="8">
        <v>5.1000000000000004E-3</v>
      </c>
      <c r="J3" s="4">
        <v>214.096</v>
      </c>
      <c r="K3" s="4">
        <v>-5.0000000000000001E-3</v>
      </c>
      <c r="L3" s="4">
        <v>1.6500000000000001E-2</v>
      </c>
      <c r="M3" s="4">
        <v>0.59370000000000001</v>
      </c>
      <c r="N3" s="4">
        <v>0.41</v>
      </c>
      <c r="O3" s="4">
        <v>4.3E-3</v>
      </c>
      <c r="P3" s="4" t="s">
        <v>19</v>
      </c>
      <c r="Q3" s="4" t="s">
        <v>16</v>
      </c>
      <c r="R3" s="4" t="s">
        <v>20</v>
      </c>
      <c r="S3" s="4" t="s">
        <v>21</v>
      </c>
    </row>
    <row r="4" spans="1:19">
      <c r="A4" s="1">
        <v>3</v>
      </c>
      <c r="B4" s="1" t="s">
        <v>22</v>
      </c>
      <c r="C4" s="3">
        <v>0.50339999999999996</v>
      </c>
      <c r="D4" s="3">
        <v>0.48099999999999998</v>
      </c>
      <c r="E4" s="6">
        <v>0.50049999999999994</v>
      </c>
      <c r="F4" s="6">
        <v>0.4753</v>
      </c>
      <c r="G4" s="8">
        <f t="shared" si="0"/>
        <v>2.9000000000000137E-3</v>
      </c>
      <c r="H4" s="8">
        <f t="shared" si="1"/>
        <v>5.6999999999999829E-3</v>
      </c>
      <c r="I4" s="8">
        <v>6.4000000000000003E-3</v>
      </c>
      <c r="J4" s="4">
        <v>288.61590000000001</v>
      </c>
      <c r="K4" s="4">
        <v>2.1000000000000001E-2</v>
      </c>
      <c r="L4" s="4">
        <v>3.2000000000000001E-2</v>
      </c>
      <c r="M4" s="4">
        <v>0.52439999999999998</v>
      </c>
      <c r="N4" s="4">
        <v>0.51300000000000001</v>
      </c>
      <c r="O4" s="4">
        <v>2.2000000000000001E-3</v>
      </c>
      <c r="P4" s="4" t="s">
        <v>23</v>
      </c>
      <c r="Q4" s="4" t="s">
        <v>16</v>
      </c>
      <c r="R4" s="4" t="s">
        <v>20</v>
      </c>
      <c r="S4" s="4" t="s">
        <v>21</v>
      </c>
    </row>
    <row r="5" spans="1:19">
      <c r="A5" s="1">
        <v>4</v>
      </c>
      <c r="B5" s="1" t="s">
        <v>24</v>
      </c>
      <c r="C5" s="3">
        <v>0.40810000000000002</v>
      </c>
      <c r="D5" s="3">
        <v>0.56850000000000001</v>
      </c>
      <c r="E5" s="6">
        <v>0.39800000000000002</v>
      </c>
      <c r="F5" s="6">
        <v>0.55500000000000005</v>
      </c>
      <c r="G5" s="9">
        <f t="shared" si="0"/>
        <v>1.0099999999999998E-2</v>
      </c>
      <c r="H5" s="9">
        <f t="shared" si="1"/>
        <v>1.3499999999999956E-2</v>
      </c>
      <c r="I5" s="9">
        <v>1.6899999999999998E-2</v>
      </c>
      <c r="J5" s="4">
        <v>339.32339999999999</v>
      </c>
      <c r="K5" s="4">
        <v>3.95E-2</v>
      </c>
      <c r="L5" s="4">
        <v>1.4E-2</v>
      </c>
      <c r="M5" s="4">
        <v>0.4476</v>
      </c>
      <c r="N5" s="4">
        <v>0.58250000000000002</v>
      </c>
      <c r="O5" s="4">
        <v>4.8999999999999998E-3</v>
      </c>
      <c r="P5" s="4" t="s">
        <v>25</v>
      </c>
      <c r="Q5" s="4" t="s">
        <v>16</v>
      </c>
      <c r="R5" s="4" t="s">
        <v>20</v>
      </c>
      <c r="S5" s="4" t="s">
        <v>21</v>
      </c>
    </row>
    <row r="6" spans="1:19">
      <c r="A6" s="1">
        <v>5</v>
      </c>
      <c r="B6" s="1" t="s">
        <v>26</v>
      </c>
      <c r="C6" s="3">
        <v>0.31280000000000002</v>
      </c>
      <c r="D6" s="3">
        <v>0.65600000000000003</v>
      </c>
      <c r="E6" s="6">
        <v>0.29310000000000003</v>
      </c>
      <c r="F6" s="6">
        <v>0.64080000000000004</v>
      </c>
      <c r="G6" s="9">
        <f t="shared" si="0"/>
        <v>1.9699999999999995E-2</v>
      </c>
      <c r="H6" s="9">
        <f t="shared" si="1"/>
        <v>1.5199999999999991E-2</v>
      </c>
      <c r="I6" s="9">
        <v>2.4899999999999999E-2</v>
      </c>
      <c r="J6" s="4">
        <v>323.9074</v>
      </c>
      <c r="K6" s="4">
        <v>7.0000000000000007E-2</v>
      </c>
      <c r="L6" s="4">
        <v>2.4E-2</v>
      </c>
      <c r="M6" s="4">
        <v>0.38279999999999997</v>
      </c>
      <c r="N6" s="4">
        <v>0.68</v>
      </c>
      <c r="O6" s="10">
        <v>8.0999999999999996E-3</v>
      </c>
      <c r="P6" s="4" t="s">
        <v>27</v>
      </c>
      <c r="Q6" s="4" t="s">
        <v>16</v>
      </c>
      <c r="R6" s="4" t="s">
        <v>20</v>
      </c>
      <c r="S6" s="4" t="s">
        <v>21</v>
      </c>
    </row>
    <row r="7" spans="1:19">
      <c r="A7" s="1">
        <v>6</v>
      </c>
      <c r="B7" s="1" t="s">
        <v>28</v>
      </c>
      <c r="C7" s="3">
        <v>0.2175</v>
      </c>
      <c r="D7" s="3">
        <v>0.74350000000000005</v>
      </c>
      <c r="E7" s="6">
        <v>0.19639999999999999</v>
      </c>
      <c r="F7" s="6">
        <v>0.72009999999999996</v>
      </c>
      <c r="G7" s="9">
        <f t="shared" si="0"/>
        <v>2.1100000000000008E-2</v>
      </c>
      <c r="H7" s="9">
        <f t="shared" si="1"/>
        <v>2.3400000000000087E-2</v>
      </c>
      <c r="I7" s="9">
        <v>3.15E-2</v>
      </c>
      <c r="J7" s="4">
        <v>350.05410000000001</v>
      </c>
      <c r="K7" s="4">
        <v>5.8000000000000003E-2</v>
      </c>
      <c r="L7" s="4">
        <v>-5.0000000000000001E-3</v>
      </c>
      <c r="M7" s="4">
        <v>0.27550000000000002</v>
      </c>
      <c r="N7" s="4">
        <v>0.73850000000000005</v>
      </c>
      <c r="O7" s="10">
        <v>8.6999999999999994E-3</v>
      </c>
      <c r="P7" s="4" t="s">
        <v>29</v>
      </c>
      <c r="Q7" s="4" t="s">
        <v>16</v>
      </c>
      <c r="R7" s="4" t="s">
        <v>16</v>
      </c>
      <c r="S7" s="4" t="s">
        <v>17</v>
      </c>
    </row>
    <row r="8" spans="1:19">
      <c r="A8" s="1">
        <v>7</v>
      </c>
      <c r="B8" s="1" t="s">
        <v>30</v>
      </c>
      <c r="C8" s="3">
        <v>0.58330000000000004</v>
      </c>
      <c r="D8" s="3">
        <v>0.25540000000000002</v>
      </c>
      <c r="E8" s="6">
        <v>0.57830000000000004</v>
      </c>
      <c r="F8" s="6">
        <v>0.25729999999999997</v>
      </c>
      <c r="G8" s="8">
        <f t="shared" si="0"/>
        <v>5.0000000000000044E-3</v>
      </c>
      <c r="H8" s="8">
        <f t="shared" si="1"/>
        <v>-1.8999999999999573E-3</v>
      </c>
      <c r="I8" s="8">
        <v>5.3E-3</v>
      </c>
      <c r="J8" s="4">
        <v>199.7406</v>
      </c>
      <c r="K8" s="4">
        <v>-3.0000000000000001E-3</v>
      </c>
      <c r="L8" s="4">
        <v>-2.1000000000000001E-2</v>
      </c>
      <c r="M8" s="4">
        <v>0.58030000000000004</v>
      </c>
      <c r="N8" s="4">
        <v>0.2344</v>
      </c>
      <c r="O8" s="10">
        <v>7.1999999999999998E-3</v>
      </c>
      <c r="P8" s="4" t="s">
        <v>31</v>
      </c>
      <c r="Q8" s="4" t="s">
        <v>16</v>
      </c>
      <c r="R8" s="4" t="s">
        <v>16</v>
      </c>
      <c r="S8" s="4" t="s">
        <v>17</v>
      </c>
    </row>
    <row r="9" spans="1:19">
      <c r="A9" s="1">
        <v>8</v>
      </c>
      <c r="B9" s="1" t="s">
        <v>32</v>
      </c>
      <c r="C9" s="3">
        <v>0.47260000000000002</v>
      </c>
      <c r="D9" s="3">
        <v>0.20480000000000001</v>
      </c>
      <c r="E9" s="6">
        <v>0.47199999999999998</v>
      </c>
      <c r="F9" s="6">
        <v>0.20630000000000001</v>
      </c>
      <c r="G9" s="8">
        <f t="shared" si="0"/>
        <v>6.0000000000004494E-4</v>
      </c>
      <c r="H9" s="8">
        <f t="shared" si="1"/>
        <v>-1.5000000000000013E-3</v>
      </c>
      <c r="I9" s="8">
        <v>1.6000000000000001E-3</v>
      </c>
      <c r="J9" s="4">
        <v>206.3287</v>
      </c>
      <c r="K9" s="4">
        <v>-2E-3</v>
      </c>
      <c r="L9" s="4">
        <v>-1.2999999999999999E-2</v>
      </c>
      <c r="M9" s="4">
        <v>0.47060000000000002</v>
      </c>
      <c r="N9" s="4">
        <v>0.1918</v>
      </c>
      <c r="O9" s="4">
        <v>2.5999999999999999E-3</v>
      </c>
      <c r="P9" s="4" t="s">
        <v>33</v>
      </c>
      <c r="Q9" s="4" t="s">
        <v>16</v>
      </c>
      <c r="R9" s="4" t="s">
        <v>16</v>
      </c>
      <c r="S9" s="4" t="s">
        <v>17</v>
      </c>
    </row>
    <row r="10" spans="1:19">
      <c r="A10" s="1">
        <v>9</v>
      </c>
      <c r="B10" s="1" t="s">
        <v>34</v>
      </c>
      <c r="C10" s="3">
        <v>0.3619</v>
      </c>
      <c r="D10" s="3">
        <v>0.1542</v>
      </c>
      <c r="E10" s="6">
        <v>0.36680000000000001</v>
      </c>
      <c r="F10" s="6">
        <v>0.14940000000000001</v>
      </c>
      <c r="G10" s="8">
        <f t="shared" si="0"/>
        <v>-4.9000000000000155E-3</v>
      </c>
      <c r="H10" s="8">
        <f t="shared" si="1"/>
        <v>4.7999999999999987E-3</v>
      </c>
      <c r="I10" s="8">
        <v>6.8999999999999999E-3</v>
      </c>
      <c r="J10" s="4">
        <v>205.3383</v>
      </c>
      <c r="K10" s="4">
        <v>8.9999999999999993E-3</v>
      </c>
      <c r="L10" s="4">
        <v>-2E-3</v>
      </c>
      <c r="M10" s="4">
        <v>0.37090000000000001</v>
      </c>
      <c r="N10" s="4">
        <v>0.1522</v>
      </c>
      <c r="O10" s="10">
        <v>1.18E-2</v>
      </c>
      <c r="P10" s="4" t="s">
        <v>35</v>
      </c>
      <c r="Q10" s="4" t="s">
        <v>16</v>
      </c>
      <c r="R10" s="4" t="s">
        <v>16</v>
      </c>
      <c r="S10" s="4" t="s">
        <v>17</v>
      </c>
    </row>
    <row r="11" spans="1:19">
      <c r="A11" s="1">
        <v>10</v>
      </c>
      <c r="B11" s="1" t="s">
        <v>36</v>
      </c>
      <c r="C11" s="3">
        <v>0.25119999999999998</v>
      </c>
      <c r="D11" s="3">
        <v>0.1036</v>
      </c>
      <c r="E11" s="6">
        <v>0.25219999999999998</v>
      </c>
      <c r="F11" s="6">
        <v>0.10489999999999999</v>
      </c>
      <c r="G11" s="8">
        <f t="shared" si="0"/>
        <v>-1.0000000000000009E-3</v>
      </c>
      <c r="H11" s="8">
        <f t="shared" si="1"/>
        <v>-1.2999999999999956E-3</v>
      </c>
      <c r="I11" s="8">
        <v>1.6000000000000001E-3</v>
      </c>
      <c r="J11" s="4">
        <v>121.98739999999999</v>
      </c>
      <c r="K11" s="4">
        <v>5.0000000000000001E-3</v>
      </c>
      <c r="L11" s="4">
        <v>3.0000000000000001E-3</v>
      </c>
      <c r="M11" s="4">
        <v>0.25619999999999998</v>
      </c>
      <c r="N11" s="4">
        <v>0.1066</v>
      </c>
      <c r="O11" s="4">
        <v>2.2000000000000001E-3</v>
      </c>
      <c r="P11" s="4" t="s">
        <v>37</v>
      </c>
      <c r="Q11" s="4" t="s">
        <v>16</v>
      </c>
      <c r="R11" s="4" t="s">
        <v>16</v>
      </c>
      <c r="S11" s="4" t="s">
        <v>17</v>
      </c>
    </row>
    <row r="12" spans="1:19">
      <c r="A12" s="1">
        <v>11</v>
      </c>
      <c r="B12" s="1" t="s">
        <v>38</v>
      </c>
      <c r="C12" s="3">
        <v>0.14050000000000001</v>
      </c>
      <c r="D12" s="3">
        <v>5.2999999999999999E-2</v>
      </c>
      <c r="E12" s="6">
        <v>0.1482</v>
      </c>
      <c r="F12" s="6">
        <v>5.3499999999999999E-2</v>
      </c>
      <c r="G12" s="8">
        <f t="shared" si="0"/>
        <v>-7.6999999999999846E-3</v>
      </c>
      <c r="H12" s="8">
        <f t="shared" si="1"/>
        <v>-5.0000000000000044E-4</v>
      </c>
      <c r="I12" s="9">
        <v>7.7000000000000002E-3</v>
      </c>
      <c r="J12" s="4">
        <v>73.558099999999996</v>
      </c>
      <c r="K12" s="4">
        <v>-2.3E-2</v>
      </c>
      <c r="L12" s="4">
        <v>-7.0000000000000001E-3</v>
      </c>
      <c r="M12" s="4">
        <v>0.11749999999999999</v>
      </c>
      <c r="N12" s="4">
        <v>4.5999999999999999E-2</v>
      </c>
      <c r="O12" s="10">
        <v>9.7999999999999997E-3</v>
      </c>
      <c r="P12" s="4" t="s">
        <v>39</v>
      </c>
      <c r="Q12" s="4" t="s">
        <v>16</v>
      </c>
      <c r="R12" s="4" t="s">
        <v>16</v>
      </c>
      <c r="S12" s="4" t="s">
        <v>17</v>
      </c>
    </row>
    <row r="13" spans="1:19">
      <c r="A13" s="1">
        <v>12</v>
      </c>
      <c r="B13" s="1" t="s">
        <v>40</v>
      </c>
      <c r="C13" s="3">
        <v>0.2021</v>
      </c>
      <c r="D13" s="3">
        <v>0.60540000000000005</v>
      </c>
      <c r="E13" s="6">
        <v>0.20180000000000001</v>
      </c>
      <c r="F13" s="6">
        <v>0.60440000000000005</v>
      </c>
      <c r="G13" s="8">
        <f t="shared" si="0"/>
        <v>2.9999999999999472E-4</v>
      </c>
      <c r="H13" s="8">
        <f t="shared" si="1"/>
        <v>1.0000000000000009E-3</v>
      </c>
      <c r="I13" s="8">
        <v>1E-3</v>
      </c>
      <c r="J13" s="4">
        <v>262.63729999999998</v>
      </c>
      <c r="K13" s="4">
        <v>5.1999999999999998E-2</v>
      </c>
      <c r="L13" s="4">
        <v>-6.0999999999999999E-2</v>
      </c>
      <c r="M13" s="4">
        <v>0.25409999999999999</v>
      </c>
      <c r="N13" s="4">
        <v>0.5444</v>
      </c>
      <c r="O13" s="4">
        <v>2.9999999999999997E-4</v>
      </c>
      <c r="P13" s="4" t="s">
        <v>41</v>
      </c>
      <c r="Q13" s="4" t="s">
        <v>16</v>
      </c>
      <c r="R13" s="4" t="s">
        <v>16</v>
      </c>
      <c r="S13" s="4" t="s">
        <v>17</v>
      </c>
    </row>
    <row r="14" spans="1:19">
      <c r="A14" s="1">
        <v>13</v>
      </c>
      <c r="B14" s="1" t="s">
        <v>42</v>
      </c>
      <c r="C14" s="3">
        <v>0.1867</v>
      </c>
      <c r="D14" s="3">
        <v>0.46729999999999999</v>
      </c>
      <c r="E14" s="6">
        <v>0.18379999999999999</v>
      </c>
      <c r="F14" s="6">
        <v>0.47110000000000002</v>
      </c>
      <c r="G14" s="8">
        <f t="shared" si="0"/>
        <v>2.9000000000000137E-3</v>
      </c>
      <c r="H14" s="8">
        <f t="shared" si="1"/>
        <v>-3.8000000000000256E-3</v>
      </c>
      <c r="I14" s="8">
        <v>4.7999999999999996E-3</v>
      </c>
      <c r="J14" s="4">
        <v>283.96190000000001</v>
      </c>
      <c r="K14" s="4">
        <v>4.4999999999999998E-2</v>
      </c>
      <c r="L14" s="4">
        <v>-2.8000000000000001E-2</v>
      </c>
      <c r="M14" s="4">
        <v>0.23169999999999999</v>
      </c>
      <c r="N14" s="4">
        <v>0.43930000000000002</v>
      </c>
      <c r="O14" s="4">
        <v>2.2000000000000001E-3</v>
      </c>
      <c r="P14" s="4" t="s">
        <v>43</v>
      </c>
      <c r="Q14" s="4" t="s">
        <v>16</v>
      </c>
      <c r="R14" s="4" t="s">
        <v>16</v>
      </c>
      <c r="S14" s="4" t="s">
        <v>17</v>
      </c>
    </row>
    <row r="15" spans="1:19">
      <c r="A15" s="1">
        <v>14</v>
      </c>
      <c r="B15" s="1" t="s">
        <v>44</v>
      </c>
      <c r="C15" s="3">
        <v>0.17130000000000001</v>
      </c>
      <c r="D15" s="3">
        <v>0.32919999999999999</v>
      </c>
      <c r="E15" s="6">
        <v>0.1716</v>
      </c>
      <c r="F15" s="6">
        <v>0.33179999999999998</v>
      </c>
      <c r="G15" s="8">
        <f t="shared" si="0"/>
        <v>-2.9999999999999472E-4</v>
      </c>
      <c r="H15" s="8">
        <f t="shared" si="1"/>
        <v>-2.5999999999999912E-3</v>
      </c>
      <c r="I15" s="8">
        <v>2.5999999999999999E-3</v>
      </c>
      <c r="J15" s="4">
        <v>305.9067</v>
      </c>
      <c r="K15" s="4">
        <v>3.5000000000000003E-2</v>
      </c>
      <c r="L15" s="4">
        <v>2.3E-2</v>
      </c>
      <c r="M15" s="4">
        <v>0.20630000000000001</v>
      </c>
      <c r="N15" s="4">
        <v>0.35220000000000001</v>
      </c>
      <c r="O15" s="4">
        <v>1.5E-3</v>
      </c>
      <c r="P15" s="4" t="s">
        <v>45</v>
      </c>
      <c r="Q15" s="4" t="s">
        <v>16</v>
      </c>
      <c r="R15" s="4" t="s">
        <v>16</v>
      </c>
      <c r="S15" s="4" t="s">
        <v>17</v>
      </c>
    </row>
    <row r="16" spans="1:19">
      <c r="A16" s="1">
        <v>15</v>
      </c>
      <c r="B16" s="1" t="s">
        <v>46</v>
      </c>
      <c r="C16" s="3">
        <v>0.15590000000000001</v>
      </c>
      <c r="D16" s="3">
        <v>0.19109999999999999</v>
      </c>
      <c r="E16" s="6">
        <v>0.15329999999999999</v>
      </c>
      <c r="F16" s="6">
        <v>0.19059999999999999</v>
      </c>
      <c r="G16" s="8">
        <f t="shared" si="0"/>
        <v>2.600000000000019E-3</v>
      </c>
      <c r="H16" s="8">
        <f t="shared" si="1"/>
        <v>5.0000000000000044E-4</v>
      </c>
      <c r="I16" s="8">
        <v>2.5999999999999999E-3</v>
      </c>
      <c r="J16" s="4">
        <v>240.4786</v>
      </c>
      <c r="K16" s="4">
        <v>8.0000000000000002E-3</v>
      </c>
      <c r="L16" s="4">
        <v>5.1999999999999998E-2</v>
      </c>
      <c r="M16" s="4">
        <v>0.16389999999999999</v>
      </c>
      <c r="N16" s="4">
        <v>0.24310000000000001</v>
      </c>
      <c r="O16" s="4">
        <v>2.2000000000000001E-3</v>
      </c>
      <c r="P16" s="4" t="s">
        <v>47</v>
      </c>
      <c r="Q16" s="4" t="s">
        <v>16</v>
      </c>
      <c r="R16" s="4" t="s">
        <v>16</v>
      </c>
      <c r="S16" s="4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dci_p3_gamut_test_results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Drift.King vivito.ye</dc:creator>
  <cp:lastModifiedBy>Drift.King vivito.ye</cp:lastModifiedBy>
  <dcterms:created xsi:type="dcterms:W3CDTF">2026-09-09T11:29:04Z</dcterms:created>
  <dcterms:modified xsi:type="dcterms:W3CDTF">2026-09-09T11:29:04Z</dcterms:modified>
</cp:coreProperties>
</file>